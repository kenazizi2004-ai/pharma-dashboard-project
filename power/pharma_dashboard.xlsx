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pharma_data" sheetId="1" r:id="rId5"/>
    <sheet state="visible" name="charts" sheetId="2" r:id="rId6"/>
  </sheets>
  <definedNames/>
  <calcPr/>
</workbook>
</file>

<file path=xl/sharedStrings.xml><?xml version="1.0" encoding="utf-8"?>
<sst xmlns="http://schemas.openxmlformats.org/spreadsheetml/2006/main" count="186" uniqueCount="43">
  <si>
    <t>Pharma Clinical Trial Analytics Dashboard</t>
  </si>
  <si>
    <t>Risk, Success Rate &amp; Company Performance Analysis</t>
  </si>
  <si>
    <t>Average Success Rate</t>
  </si>
  <si>
    <t>Average Risk Score</t>
  </si>
  <si>
    <t>Total Patients</t>
  </si>
  <si>
    <t>Total Trial Cost (in millions USD)</t>
  </si>
  <si>
    <t>Company</t>
  </si>
  <si>
    <t>Avg Success Rate</t>
  </si>
  <si>
    <t>Pfizer</t>
  </si>
  <si>
    <t>Roche</t>
  </si>
  <si>
    <t>Moderna</t>
  </si>
  <si>
    <t>Novartis</t>
  </si>
  <si>
    <t>Avg Risk Score</t>
  </si>
  <si>
    <t>Region</t>
  </si>
  <si>
    <t>North America</t>
  </si>
  <si>
    <t>Europe</t>
  </si>
  <si>
    <t>Asia</t>
  </si>
  <si>
    <t>Trial Phase</t>
  </si>
  <si>
    <t>Phase I</t>
  </si>
  <si>
    <t>Phase II</t>
  </si>
  <si>
    <t>Phase III</t>
  </si>
  <si>
    <t>Approved</t>
  </si>
  <si>
    <t>Category</t>
  </si>
  <si>
    <t>Count</t>
  </si>
  <si>
    <t>Low</t>
  </si>
  <si>
    <t>Medium</t>
  </si>
  <si>
    <t>High</t>
  </si>
  <si>
    <t>drug_name</t>
  </si>
  <si>
    <t>trial_phase</t>
  </si>
  <si>
    <t>success_rate</t>
  </si>
  <si>
    <t>patients_enrolled</t>
  </si>
  <si>
    <t>side_effect_rate</t>
  </si>
  <si>
    <t>company</t>
  </si>
  <si>
    <t>region</t>
  </si>
  <si>
    <t>trial_cost_million_usd</t>
  </si>
  <si>
    <t>approval_probability</t>
  </si>
  <si>
    <t>risk_score</t>
  </si>
  <si>
    <t>risk_category</t>
  </si>
  <si>
    <t>successful_trial</t>
  </si>
  <si>
    <t>DrugA</t>
  </si>
  <si>
    <t>DrugB</t>
  </si>
  <si>
    <t>DrugC</t>
  </si>
  <si>
    <t>DrugD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</si>
</sst>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Success Rate vs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cleaned_pharma_data!$B$53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cleaned_pharma_data!$A$54:$A$57</c:f>
            </c:strRef>
          </c:cat>
          <c:val>
            <c:numRef>
              <c:f>cleaned_pharma_data!$B$54:$B$57</c:f>
              <c:numCache/>
            </c:numRef>
          </c:val>
        </c:ser>
        <c:axId val="1484417653"/>
        <c:axId val="720505006"/>
      </c:barChart>
      <c:catAx>
        <c:axId val="1484417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505006"/>
      </c:catAx>
      <c:valAx>
        <c:axId val="720505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Success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417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Risk Score vs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cleaned_pharma_data!$B$59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cleaned_pharma_data!$A$60:$A$63</c:f>
            </c:strRef>
          </c:cat>
          <c:val>
            <c:numRef>
              <c:f>cleaned_pharma_data!$B$60:$B$63</c:f>
              <c:numCache/>
            </c:numRef>
          </c:val>
        </c:ser>
        <c:axId val="584440558"/>
        <c:axId val="1358823470"/>
      </c:barChart>
      <c:catAx>
        <c:axId val="584440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823470"/>
      </c:catAx>
      <c:valAx>
        <c:axId val="1358823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Risk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440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Success Rate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cleaned_pharma_data!$B$65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cleaned_pharma_data!$A$66:$A$68</c:f>
            </c:strRef>
          </c:cat>
          <c:val>
            <c:numRef>
              <c:f>cleaned_pharma_data!$B$66:$B$68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Risk Score vs Trial Phase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cleaned_pharma_data!$B$70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cleaned_pharma_data!$A$71:$A$74</c:f>
            </c:strRef>
          </c:cat>
          <c:val>
            <c:numRef>
              <c:f>cleaned_pharma_data!$B$71:$B$74</c:f>
              <c:numCache/>
            </c:numRef>
          </c:val>
        </c:ser>
        <c:axId val="1840160082"/>
        <c:axId val="854330410"/>
      </c:barChart>
      <c:catAx>
        <c:axId val="1840160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330410"/>
      </c:catAx>
      <c:valAx>
        <c:axId val="854330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Risk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160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cleaned_pharma_data!$B$76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cleaned_pharma_data!$A$77:$A$79</c:f>
            </c:strRef>
          </c:cat>
          <c:val>
            <c:numRef>
              <c:f>cleaned_pharma_data!$B$77:$B$79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11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762000</xdr:colOff>
      <xdr:row>11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30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714375</xdr:colOff>
      <xdr:row>30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762000</xdr:colOff>
      <xdr:row>49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25.0"/>
  </cols>
  <sheetData>
    <row r="1">
      <c r="A1" s="1" t="s">
        <v>0</v>
      </c>
      <c r="B1" s="1"/>
      <c r="C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E3" s="1"/>
      <c r="F3" s="1"/>
      <c r="G3" s="1"/>
      <c r="H3" s="1"/>
      <c r="I3" s="1"/>
      <c r="J3" s="1"/>
      <c r="K3" s="1"/>
      <c r="L3" s="1"/>
    </row>
    <row r="4">
      <c r="A4" s="1" t="s">
        <v>2</v>
      </c>
      <c r="B4" s="1"/>
      <c r="C4" s="1"/>
      <c r="E4" s="1"/>
      <c r="F4" s="1"/>
      <c r="G4" s="1"/>
      <c r="H4" s="1"/>
      <c r="I4" s="1"/>
      <c r="J4" s="1"/>
      <c r="K4" s="1"/>
      <c r="L4" s="1"/>
    </row>
    <row r="5">
      <c r="A5" s="1">
        <f>AVERAGE(C:C)</f>
        <v>78.70714286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A7" s="1">
        <f>AVERAGE(J:J)</f>
        <v>0.146686831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>
        <f>SUM(D:D)</f>
        <v>78300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>
      <c r="A11" s="1">
        <f>SUM(H:H)</f>
        <v>8083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53">
      <c r="A53" s="2" t="s">
        <v>6</v>
      </c>
      <c r="B53" s="2" t="s">
        <v>7</v>
      </c>
    </row>
    <row r="54">
      <c r="A54" s="1" t="s">
        <v>8</v>
      </c>
      <c r="B54" s="1">
        <v>74.0</v>
      </c>
    </row>
    <row r="55">
      <c r="A55" s="1" t="s">
        <v>9</v>
      </c>
      <c r="B55" s="1">
        <v>80.6</v>
      </c>
    </row>
    <row r="56">
      <c r="A56" s="1" t="s">
        <v>10</v>
      </c>
      <c r="B56" s="1">
        <v>67.5</v>
      </c>
    </row>
    <row r="57">
      <c r="A57" s="1" t="s">
        <v>11</v>
      </c>
      <c r="B57" s="1">
        <v>95.2</v>
      </c>
    </row>
    <row r="59">
      <c r="A59" s="2" t="s">
        <v>6</v>
      </c>
      <c r="B59" s="2" t="s">
        <v>12</v>
      </c>
    </row>
    <row r="60">
      <c r="A60" s="1" t="s">
        <v>8</v>
      </c>
      <c r="B60" s="1">
        <v>0.161</v>
      </c>
    </row>
    <row r="61">
      <c r="A61" s="1" t="s">
        <v>9</v>
      </c>
      <c r="B61" s="1">
        <v>0.128</v>
      </c>
    </row>
    <row r="62">
      <c r="A62" s="1" t="s">
        <v>10</v>
      </c>
      <c r="B62" s="1">
        <v>0.239</v>
      </c>
    </row>
    <row r="63">
      <c r="A63" s="1" t="s">
        <v>11</v>
      </c>
      <c r="B63" s="1">
        <v>0.045</v>
      </c>
    </row>
    <row r="65">
      <c r="A65" s="2" t="s">
        <v>13</v>
      </c>
      <c r="B65" s="2" t="s">
        <v>7</v>
      </c>
    </row>
    <row r="66">
      <c r="A66" s="1" t="s">
        <v>14</v>
      </c>
      <c r="B66" s="1">
        <v>73.1</v>
      </c>
    </row>
    <row r="67">
      <c r="A67" s="1" t="s">
        <v>15</v>
      </c>
      <c r="B67" s="1">
        <v>82.4</v>
      </c>
    </row>
    <row r="68">
      <c r="A68" s="1" t="s">
        <v>16</v>
      </c>
      <c r="B68" s="1">
        <v>78.6</v>
      </c>
    </row>
    <row r="70">
      <c r="A70" s="2" t="s">
        <v>17</v>
      </c>
      <c r="B70" s="2" t="s">
        <v>12</v>
      </c>
    </row>
    <row r="71">
      <c r="A71" s="1" t="s">
        <v>18</v>
      </c>
      <c r="B71" s="1">
        <v>0.219</v>
      </c>
    </row>
    <row r="72">
      <c r="A72" s="1" t="s">
        <v>19</v>
      </c>
      <c r="B72" s="1">
        <v>0.14</v>
      </c>
    </row>
    <row r="73">
      <c r="A73" s="1" t="s">
        <v>20</v>
      </c>
      <c r="B73" s="1">
        <v>0.125</v>
      </c>
    </row>
    <row r="74">
      <c r="A74" s="1" t="s">
        <v>21</v>
      </c>
      <c r="B74" s="1">
        <v>0.046</v>
      </c>
    </row>
    <row r="76">
      <c r="A76" s="2" t="s">
        <v>22</v>
      </c>
      <c r="B76" s="2" t="s">
        <v>23</v>
      </c>
    </row>
    <row r="77">
      <c r="A77" s="1" t="s">
        <v>24</v>
      </c>
      <c r="B77" s="1">
        <v>8.0</v>
      </c>
    </row>
    <row r="78">
      <c r="A78" s="1" t="s">
        <v>25</v>
      </c>
      <c r="B78" s="1">
        <v>12.0</v>
      </c>
    </row>
    <row r="79">
      <c r="A79" s="1" t="s">
        <v>26</v>
      </c>
      <c r="B79" s="1">
        <v>8.0</v>
      </c>
    </row>
    <row r="81">
      <c r="A81" s="3" t="s">
        <v>27</v>
      </c>
      <c r="B81" s="3" t="s">
        <v>28</v>
      </c>
      <c r="C81" s="3" t="s">
        <v>29</v>
      </c>
      <c r="D81" s="3" t="s">
        <v>30</v>
      </c>
      <c r="E81" s="3" t="s">
        <v>31</v>
      </c>
      <c r="F81" s="3" t="s">
        <v>32</v>
      </c>
      <c r="G81" s="3" t="s">
        <v>33</v>
      </c>
      <c r="H81" s="3" t="s">
        <v>34</v>
      </c>
      <c r="I81" s="3" t="s">
        <v>35</v>
      </c>
      <c r="J81" s="3" t="s">
        <v>36</v>
      </c>
      <c r="K81" s="3" t="s">
        <v>37</v>
      </c>
      <c r="L81" s="3" t="s">
        <v>38</v>
      </c>
    </row>
    <row r="82">
      <c r="A82" s="3" t="s">
        <v>39</v>
      </c>
      <c r="B82" s="3" t="s">
        <v>18</v>
      </c>
      <c r="C82" s="4">
        <v>72.5</v>
      </c>
      <c r="D82" s="4">
        <v>450.0</v>
      </c>
      <c r="E82" s="4">
        <v>12.3</v>
      </c>
      <c r="F82" s="3" t="s">
        <v>8</v>
      </c>
      <c r="G82" s="3" t="s">
        <v>14</v>
      </c>
      <c r="H82" s="4">
        <v>120.0</v>
      </c>
      <c r="I82" s="4">
        <v>0.62</v>
      </c>
      <c r="J82" s="4">
        <v>0.169655172413793</v>
      </c>
      <c r="K82" s="3" t="s">
        <v>25</v>
      </c>
      <c r="L82" s="4">
        <v>0.0</v>
      </c>
    </row>
    <row r="83">
      <c r="A83" s="3" t="s">
        <v>40</v>
      </c>
      <c r="B83" s="3" t="s">
        <v>19</v>
      </c>
      <c r="C83" s="4">
        <v>81.2</v>
      </c>
      <c r="D83" s="4">
        <v>1200.0</v>
      </c>
      <c r="E83" s="4">
        <v>8.5</v>
      </c>
      <c r="F83" s="3" t="s">
        <v>9</v>
      </c>
      <c r="G83" s="3" t="s">
        <v>15</v>
      </c>
      <c r="H83" s="4">
        <v>210.0</v>
      </c>
      <c r="I83" s="4">
        <v>0.74</v>
      </c>
      <c r="J83" s="4">
        <v>0.104679802955665</v>
      </c>
      <c r="K83" s="3" t="s">
        <v>25</v>
      </c>
      <c r="L83" s="4">
        <v>1.0</v>
      </c>
    </row>
    <row r="84">
      <c r="A84" s="3" t="s">
        <v>41</v>
      </c>
      <c r="B84" s="3" t="s">
        <v>20</v>
      </c>
      <c r="C84" s="4">
        <v>65.8</v>
      </c>
      <c r="D84" s="4">
        <v>3000.0</v>
      </c>
      <c r="E84" s="4">
        <v>15.2</v>
      </c>
      <c r="F84" s="3" t="s">
        <v>10</v>
      </c>
      <c r="G84" s="3" t="s">
        <v>16</v>
      </c>
      <c r="H84" s="4">
        <v>340.0</v>
      </c>
      <c r="I84" s="4">
        <v>0.55</v>
      </c>
      <c r="J84" s="4">
        <v>0.231003039513678</v>
      </c>
      <c r="K84" s="3" t="s">
        <v>26</v>
      </c>
      <c r="L84" s="4">
        <v>0.0</v>
      </c>
    </row>
    <row r="85">
      <c r="A85" s="3" t="s">
        <v>42</v>
      </c>
      <c r="B85" s="3" t="s">
        <v>21</v>
      </c>
      <c r="C85" s="4">
        <v>92.1</v>
      </c>
      <c r="D85" s="4">
        <v>5000.0</v>
      </c>
      <c r="E85" s="4">
        <v>5.1</v>
      </c>
      <c r="F85" s="3" t="s">
        <v>11</v>
      </c>
      <c r="G85" s="3" t="s">
        <v>14</v>
      </c>
      <c r="H85" s="4">
        <v>450.0</v>
      </c>
      <c r="I85" s="4">
        <v>0.91</v>
      </c>
      <c r="J85" s="4">
        <v>0.0553745928338762</v>
      </c>
      <c r="K85" s="3" t="s">
        <v>24</v>
      </c>
      <c r="L85" s="4">
        <v>1.0</v>
      </c>
    </row>
    <row r="86">
      <c r="A86" s="3" t="s">
        <v>39</v>
      </c>
      <c r="B86" s="3" t="s">
        <v>19</v>
      </c>
      <c r="C86" s="4">
        <v>74.0</v>
      </c>
      <c r="D86" s="4">
        <v>980.0</v>
      </c>
      <c r="E86" s="4">
        <v>11.1</v>
      </c>
      <c r="F86" s="3" t="s">
        <v>8</v>
      </c>
      <c r="G86" s="3" t="s">
        <v>15</v>
      </c>
      <c r="H86" s="4">
        <v>180.0</v>
      </c>
      <c r="I86" s="4">
        <v>0.68</v>
      </c>
      <c r="J86" s="4">
        <v>0.15</v>
      </c>
      <c r="K86" s="3" t="s">
        <v>25</v>
      </c>
      <c r="L86" s="4">
        <v>0.0</v>
      </c>
    </row>
    <row r="87">
      <c r="A87" s="3" t="s">
        <v>40</v>
      </c>
      <c r="B87" s="3" t="s">
        <v>20</v>
      </c>
      <c r="C87" s="4">
        <v>79.4</v>
      </c>
      <c r="D87" s="4">
        <v>2500.0</v>
      </c>
      <c r="E87" s="4">
        <v>10.4</v>
      </c>
      <c r="F87" s="3" t="s">
        <v>9</v>
      </c>
      <c r="G87" s="3" t="s">
        <v>16</v>
      </c>
      <c r="H87" s="4">
        <v>320.0</v>
      </c>
      <c r="I87" s="4">
        <v>0.79</v>
      </c>
      <c r="J87" s="4">
        <v>0.130982367758186</v>
      </c>
      <c r="K87" s="3" t="s">
        <v>25</v>
      </c>
      <c r="L87" s="4">
        <v>1.0</v>
      </c>
    </row>
    <row r="88">
      <c r="A88" s="3" t="s">
        <v>41</v>
      </c>
      <c r="B88" s="3" t="s">
        <v>18</v>
      </c>
      <c r="C88" s="4">
        <v>61.7</v>
      </c>
      <c r="D88" s="4">
        <v>600.0</v>
      </c>
      <c r="E88" s="4">
        <v>18.7</v>
      </c>
      <c r="F88" s="3" t="s">
        <v>10</v>
      </c>
      <c r="G88" s="3" t="s">
        <v>14</v>
      </c>
      <c r="H88" s="4">
        <v>95.0</v>
      </c>
      <c r="I88" s="4">
        <v>0.42</v>
      </c>
      <c r="J88" s="4">
        <v>0.303079416531605</v>
      </c>
      <c r="K88" s="3" t="s">
        <v>26</v>
      </c>
      <c r="L88" s="4">
        <v>0.0</v>
      </c>
    </row>
    <row r="89">
      <c r="A89" s="3" t="s">
        <v>42</v>
      </c>
      <c r="B89" s="3" t="s">
        <v>21</v>
      </c>
      <c r="C89" s="4">
        <v>95.5</v>
      </c>
      <c r="D89" s="4">
        <v>6200.0</v>
      </c>
      <c r="E89" s="4">
        <v>4.2</v>
      </c>
      <c r="F89" s="3" t="s">
        <v>11</v>
      </c>
      <c r="G89" s="3" t="s">
        <v>15</v>
      </c>
      <c r="H89" s="4">
        <v>500.0</v>
      </c>
      <c r="I89" s="4">
        <v>0.93</v>
      </c>
      <c r="J89" s="4">
        <v>0.043979057591623</v>
      </c>
      <c r="K89" s="3" t="s">
        <v>24</v>
      </c>
      <c r="L89" s="4">
        <v>1.0</v>
      </c>
    </row>
    <row r="90">
      <c r="A90" s="3" t="s">
        <v>39</v>
      </c>
      <c r="B90" s="3" t="s">
        <v>20</v>
      </c>
      <c r="C90" s="4">
        <v>83.2</v>
      </c>
      <c r="D90" s="4">
        <v>3100.0</v>
      </c>
      <c r="E90" s="4">
        <v>9.6</v>
      </c>
      <c r="F90" s="3" t="s">
        <v>8</v>
      </c>
      <c r="G90" s="3" t="s">
        <v>16</v>
      </c>
      <c r="H90" s="4">
        <v>360.0</v>
      </c>
      <c r="I90" s="4">
        <v>0.82</v>
      </c>
      <c r="J90" s="4">
        <v>0.115384615384615</v>
      </c>
      <c r="K90" s="3" t="s">
        <v>25</v>
      </c>
      <c r="L90" s="4">
        <v>1.0</v>
      </c>
    </row>
    <row r="91">
      <c r="A91" s="3" t="s">
        <v>40</v>
      </c>
      <c r="B91" s="3" t="s">
        <v>18</v>
      </c>
      <c r="C91" s="4">
        <v>69.3</v>
      </c>
      <c r="D91" s="4">
        <v>550.0</v>
      </c>
      <c r="E91" s="4">
        <v>14.0</v>
      </c>
      <c r="F91" s="3" t="s">
        <v>9</v>
      </c>
      <c r="G91" s="3" t="s">
        <v>14</v>
      </c>
      <c r="H91" s="4">
        <v>110.0</v>
      </c>
      <c r="I91" s="4">
        <v>0.58</v>
      </c>
      <c r="J91" s="4">
        <v>0.202020202020202</v>
      </c>
      <c r="K91" s="3" t="s">
        <v>26</v>
      </c>
      <c r="L91" s="4">
        <v>0.0</v>
      </c>
    </row>
    <row r="92">
      <c r="A92" s="3" t="s">
        <v>41</v>
      </c>
      <c r="B92" s="3" t="s">
        <v>19</v>
      </c>
      <c r="C92" s="4">
        <v>70.8</v>
      </c>
      <c r="D92" s="4">
        <v>1400.0</v>
      </c>
      <c r="E92" s="4">
        <v>13.4</v>
      </c>
      <c r="F92" s="3" t="s">
        <v>10</v>
      </c>
      <c r="G92" s="3" t="s">
        <v>15</v>
      </c>
      <c r="H92" s="4">
        <v>200.0</v>
      </c>
      <c r="I92" s="4">
        <v>0.66</v>
      </c>
      <c r="J92" s="4">
        <v>0.189265536723164</v>
      </c>
      <c r="K92" s="3" t="s">
        <v>25</v>
      </c>
      <c r="L92" s="4">
        <v>0.0</v>
      </c>
    </row>
    <row r="93">
      <c r="A93" s="3" t="s">
        <v>42</v>
      </c>
      <c r="B93" s="3" t="s">
        <v>21</v>
      </c>
      <c r="C93" s="4">
        <v>96.0</v>
      </c>
      <c r="D93" s="4">
        <v>7100.0</v>
      </c>
      <c r="E93" s="4">
        <v>3.8</v>
      </c>
      <c r="F93" s="3" t="s">
        <v>11</v>
      </c>
      <c r="G93" s="3" t="s">
        <v>16</v>
      </c>
      <c r="H93" s="4">
        <v>520.0</v>
      </c>
      <c r="I93" s="4">
        <v>0.95</v>
      </c>
      <c r="J93" s="4">
        <v>0.0395833333333333</v>
      </c>
      <c r="K93" s="3" t="s">
        <v>24</v>
      </c>
      <c r="L93" s="4">
        <v>1.0</v>
      </c>
    </row>
    <row r="94">
      <c r="A94" s="3" t="s">
        <v>39</v>
      </c>
      <c r="B94" s="3" t="s">
        <v>18</v>
      </c>
      <c r="C94" s="4">
        <v>68.4</v>
      </c>
      <c r="D94" s="4">
        <v>480.0</v>
      </c>
      <c r="E94" s="4">
        <v>16.2</v>
      </c>
      <c r="F94" s="3" t="s">
        <v>8</v>
      </c>
      <c r="G94" s="3" t="s">
        <v>14</v>
      </c>
      <c r="H94" s="4">
        <v>100.0</v>
      </c>
      <c r="I94" s="4">
        <v>0.52</v>
      </c>
      <c r="J94" s="4">
        <v>0.236842105263158</v>
      </c>
      <c r="K94" s="3" t="s">
        <v>26</v>
      </c>
      <c r="L94" s="4">
        <v>0.0</v>
      </c>
    </row>
    <row r="95">
      <c r="A95" s="3" t="s">
        <v>40</v>
      </c>
      <c r="B95" s="3" t="s">
        <v>19</v>
      </c>
      <c r="C95" s="4">
        <v>77.5</v>
      </c>
      <c r="D95" s="4">
        <v>1300.0</v>
      </c>
      <c r="E95" s="4">
        <v>9.1</v>
      </c>
      <c r="F95" s="3" t="s">
        <v>9</v>
      </c>
      <c r="G95" s="3" t="s">
        <v>15</v>
      </c>
      <c r="H95" s="4">
        <v>190.0</v>
      </c>
      <c r="I95" s="4">
        <v>0.71</v>
      </c>
      <c r="J95" s="4">
        <v>0.11741935483871</v>
      </c>
      <c r="K95" s="3" t="s">
        <v>25</v>
      </c>
      <c r="L95" s="4">
        <v>1.0</v>
      </c>
    </row>
    <row r="96">
      <c r="A96" s="3" t="s">
        <v>41</v>
      </c>
      <c r="B96" s="3" t="s">
        <v>20</v>
      </c>
      <c r="C96" s="4">
        <v>66.9</v>
      </c>
      <c r="D96" s="4">
        <v>2800.0</v>
      </c>
      <c r="E96" s="4">
        <v>17.5</v>
      </c>
      <c r="F96" s="3" t="s">
        <v>10</v>
      </c>
      <c r="G96" s="3" t="s">
        <v>16</v>
      </c>
      <c r="H96" s="4">
        <v>330.0</v>
      </c>
      <c r="I96" s="4">
        <v>0.57</v>
      </c>
      <c r="J96" s="4">
        <v>0.261584454409567</v>
      </c>
      <c r="K96" s="3" t="s">
        <v>26</v>
      </c>
      <c r="L96" s="4">
        <v>0.0</v>
      </c>
    </row>
    <row r="97">
      <c r="A97" s="3" t="s">
        <v>42</v>
      </c>
      <c r="B97" s="3" t="s">
        <v>21</v>
      </c>
      <c r="C97" s="4">
        <v>93.8</v>
      </c>
      <c r="D97" s="4">
        <v>5400.0</v>
      </c>
      <c r="E97" s="4">
        <v>4.9</v>
      </c>
      <c r="F97" s="3" t="s">
        <v>11</v>
      </c>
      <c r="G97" s="3" t="s">
        <v>14</v>
      </c>
      <c r="H97" s="4">
        <v>480.0</v>
      </c>
      <c r="I97" s="4">
        <v>0.89</v>
      </c>
      <c r="J97" s="4">
        <v>0.0522388059701493</v>
      </c>
      <c r="K97" s="3" t="s">
        <v>24</v>
      </c>
      <c r="L97" s="4">
        <v>1.0</v>
      </c>
    </row>
    <row r="98">
      <c r="A98" s="3" t="s">
        <v>39</v>
      </c>
      <c r="B98" s="3" t="s">
        <v>19</v>
      </c>
      <c r="C98" s="4">
        <v>75.6</v>
      </c>
      <c r="D98" s="4">
        <v>1100.0</v>
      </c>
      <c r="E98" s="4">
        <v>10.7</v>
      </c>
      <c r="F98" s="3" t="s">
        <v>8</v>
      </c>
      <c r="G98" s="3" t="s">
        <v>15</v>
      </c>
      <c r="H98" s="4">
        <v>175.0</v>
      </c>
      <c r="I98" s="4">
        <v>0.69</v>
      </c>
      <c r="J98" s="4">
        <v>0.141534391534392</v>
      </c>
      <c r="K98" s="3" t="s">
        <v>25</v>
      </c>
      <c r="L98" s="4">
        <v>1.0</v>
      </c>
    </row>
    <row r="99">
      <c r="A99" s="3" t="s">
        <v>40</v>
      </c>
      <c r="B99" s="3" t="s">
        <v>20</v>
      </c>
      <c r="C99" s="4">
        <v>82.0</v>
      </c>
      <c r="D99" s="4">
        <v>3200.0</v>
      </c>
      <c r="E99" s="4">
        <v>8.9</v>
      </c>
      <c r="F99" s="3" t="s">
        <v>9</v>
      </c>
      <c r="G99" s="3" t="s">
        <v>16</v>
      </c>
      <c r="H99" s="4">
        <v>370.0</v>
      </c>
      <c r="I99" s="4">
        <v>0.83</v>
      </c>
      <c r="J99" s="4">
        <v>0.108536585365854</v>
      </c>
      <c r="K99" s="3" t="s">
        <v>25</v>
      </c>
      <c r="L99" s="4">
        <v>1.0</v>
      </c>
    </row>
    <row r="100">
      <c r="A100" s="3" t="s">
        <v>41</v>
      </c>
      <c r="B100" s="3" t="s">
        <v>18</v>
      </c>
      <c r="C100" s="4">
        <v>63.1</v>
      </c>
      <c r="D100" s="4">
        <v>700.0</v>
      </c>
      <c r="E100" s="4">
        <v>19.3</v>
      </c>
      <c r="F100" s="3" t="s">
        <v>10</v>
      </c>
      <c r="G100" s="3" t="s">
        <v>14</v>
      </c>
      <c r="H100" s="4">
        <v>105.0</v>
      </c>
      <c r="I100" s="4">
        <v>0.46</v>
      </c>
      <c r="J100" s="4">
        <v>0.305863708399366</v>
      </c>
      <c r="K100" s="3" t="s">
        <v>26</v>
      </c>
      <c r="L100" s="4">
        <v>0.0</v>
      </c>
    </row>
    <row r="101">
      <c r="A101" s="3" t="s">
        <v>42</v>
      </c>
      <c r="B101" s="3" t="s">
        <v>21</v>
      </c>
      <c r="C101" s="4">
        <v>97.2</v>
      </c>
      <c r="D101" s="4">
        <v>8000.0</v>
      </c>
      <c r="E101" s="4">
        <v>3.1</v>
      </c>
      <c r="F101" s="3" t="s">
        <v>11</v>
      </c>
      <c r="G101" s="3" t="s">
        <v>15</v>
      </c>
      <c r="H101" s="4">
        <v>550.0</v>
      </c>
      <c r="I101" s="4">
        <v>0.96</v>
      </c>
      <c r="J101" s="4">
        <v>0.0318930041152263</v>
      </c>
      <c r="K101" s="3" t="s">
        <v>24</v>
      </c>
      <c r="L101" s="4">
        <v>1.0</v>
      </c>
    </row>
    <row r="102">
      <c r="A102" s="3" t="s">
        <v>39</v>
      </c>
      <c r="B102" s="3" t="s">
        <v>20</v>
      </c>
      <c r="C102" s="4">
        <v>84.5</v>
      </c>
      <c r="D102" s="4">
        <v>3500.0</v>
      </c>
      <c r="E102" s="4">
        <v>8.3</v>
      </c>
      <c r="F102" s="3" t="s">
        <v>8</v>
      </c>
      <c r="G102" s="3" t="s">
        <v>16</v>
      </c>
      <c r="H102" s="4">
        <v>390.0</v>
      </c>
      <c r="I102" s="4">
        <v>0.84</v>
      </c>
      <c r="J102" s="4">
        <v>0.0982248520710059</v>
      </c>
      <c r="K102" s="3" t="s">
        <v>24</v>
      </c>
      <c r="L102" s="4">
        <v>1.0</v>
      </c>
    </row>
    <row r="103">
      <c r="A103" s="3" t="s">
        <v>40</v>
      </c>
      <c r="B103" s="3" t="s">
        <v>18</v>
      </c>
      <c r="C103" s="4">
        <v>71.0</v>
      </c>
      <c r="D103" s="4">
        <v>620.0</v>
      </c>
      <c r="E103" s="4">
        <v>13.7</v>
      </c>
      <c r="F103" s="3" t="s">
        <v>9</v>
      </c>
      <c r="G103" s="3" t="s">
        <v>14</v>
      </c>
      <c r="H103" s="4">
        <v>115.0</v>
      </c>
      <c r="I103" s="4">
        <v>0.59</v>
      </c>
      <c r="J103" s="4">
        <v>0.192957746478873</v>
      </c>
      <c r="K103" s="3" t="s">
        <v>25</v>
      </c>
      <c r="L103" s="4">
        <v>0.0</v>
      </c>
    </row>
    <row r="104">
      <c r="A104" s="3" t="s">
        <v>41</v>
      </c>
      <c r="B104" s="3" t="s">
        <v>19</v>
      </c>
      <c r="C104" s="4">
        <v>69.7</v>
      </c>
      <c r="D104" s="4">
        <v>1500.0</v>
      </c>
      <c r="E104" s="4">
        <v>14.6</v>
      </c>
      <c r="F104" s="3" t="s">
        <v>10</v>
      </c>
      <c r="G104" s="3" t="s">
        <v>15</v>
      </c>
      <c r="H104" s="4">
        <v>210.0</v>
      </c>
      <c r="I104" s="4">
        <v>0.64</v>
      </c>
      <c r="J104" s="4">
        <v>0.209469153515065</v>
      </c>
      <c r="K104" s="3" t="s">
        <v>26</v>
      </c>
      <c r="L104" s="4">
        <v>0.0</v>
      </c>
    </row>
    <row r="105">
      <c r="A105" s="3" t="s">
        <v>42</v>
      </c>
      <c r="B105" s="3" t="s">
        <v>21</v>
      </c>
      <c r="C105" s="4">
        <v>94.9</v>
      </c>
      <c r="D105" s="4">
        <v>6000.0</v>
      </c>
      <c r="E105" s="4">
        <v>4.4</v>
      </c>
      <c r="F105" s="3" t="s">
        <v>11</v>
      </c>
      <c r="G105" s="3" t="s">
        <v>16</v>
      </c>
      <c r="H105" s="4">
        <v>510.0</v>
      </c>
      <c r="I105" s="4">
        <v>0.92</v>
      </c>
      <c r="J105" s="4">
        <v>0.0463645943097998</v>
      </c>
      <c r="K105" s="3" t="s">
        <v>24</v>
      </c>
      <c r="L105" s="4">
        <v>1.0</v>
      </c>
    </row>
    <row r="106">
      <c r="A106" s="3" t="s">
        <v>39</v>
      </c>
      <c r="B106" s="3" t="s">
        <v>18</v>
      </c>
      <c r="C106" s="4">
        <v>73.8</v>
      </c>
      <c r="D106" s="4">
        <v>520.0</v>
      </c>
      <c r="E106" s="4">
        <v>12.8</v>
      </c>
      <c r="F106" s="3" t="s">
        <v>8</v>
      </c>
      <c r="G106" s="3" t="s">
        <v>14</v>
      </c>
      <c r="H106" s="4">
        <v>108.0</v>
      </c>
      <c r="I106" s="4">
        <v>0.61</v>
      </c>
      <c r="J106" s="4">
        <v>0.173441734417344</v>
      </c>
      <c r="K106" s="3" t="s">
        <v>25</v>
      </c>
      <c r="L106" s="4">
        <v>0.0</v>
      </c>
    </row>
    <row r="107">
      <c r="A107" s="3" t="s">
        <v>40</v>
      </c>
      <c r="B107" s="3" t="s">
        <v>19</v>
      </c>
      <c r="C107" s="4">
        <v>80.6</v>
      </c>
      <c r="D107" s="4">
        <v>1450.0</v>
      </c>
      <c r="E107" s="4">
        <v>9.4</v>
      </c>
      <c r="F107" s="3" t="s">
        <v>9</v>
      </c>
      <c r="G107" s="3" t="s">
        <v>15</v>
      </c>
      <c r="H107" s="4">
        <v>205.0</v>
      </c>
      <c r="I107" s="4">
        <v>0.73</v>
      </c>
      <c r="J107" s="4">
        <v>0.116625310173697</v>
      </c>
      <c r="K107" s="3" t="s">
        <v>25</v>
      </c>
      <c r="L107" s="4">
        <v>1.0</v>
      </c>
    </row>
    <row r="108">
      <c r="A108" s="3" t="s">
        <v>41</v>
      </c>
      <c r="B108" s="3" t="s">
        <v>20</v>
      </c>
      <c r="C108" s="4">
        <v>67.5</v>
      </c>
      <c r="D108" s="4">
        <v>2950.0</v>
      </c>
      <c r="E108" s="4">
        <v>16.1</v>
      </c>
      <c r="F108" s="3" t="s">
        <v>10</v>
      </c>
      <c r="G108" s="3" t="s">
        <v>16</v>
      </c>
      <c r="H108" s="4">
        <v>345.0</v>
      </c>
      <c r="I108" s="4">
        <v>0.56</v>
      </c>
      <c r="J108" s="4">
        <v>0.238518518518519</v>
      </c>
      <c r="K108" s="3" t="s">
        <v>26</v>
      </c>
      <c r="L108" s="4">
        <v>0.0</v>
      </c>
    </row>
    <row r="109">
      <c r="A109" s="3" t="s">
        <v>42</v>
      </c>
      <c r="B109" s="3" t="s">
        <v>21</v>
      </c>
      <c r="C109" s="4">
        <v>95.8</v>
      </c>
      <c r="D109" s="4">
        <v>6700.0</v>
      </c>
      <c r="E109" s="4">
        <v>3.9</v>
      </c>
      <c r="F109" s="3" t="s">
        <v>11</v>
      </c>
      <c r="G109" s="3" t="s">
        <v>14</v>
      </c>
      <c r="H109" s="4">
        <v>495.0</v>
      </c>
      <c r="I109" s="4">
        <v>0.94</v>
      </c>
      <c r="J109" s="4">
        <v>0.0407098121085595</v>
      </c>
      <c r="K109" s="3" t="s">
        <v>24</v>
      </c>
      <c r="L109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